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c\OneDrive\Desktop\GAM Demo\"/>
    </mc:Choice>
  </mc:AlternateContent>
  <xr:revisionPtr revIDLastSave="0" documentId="13_ncr:1_{F40B000A-A1AE-4176-B390-137FE75F9DCC}" xr6:coauthVersionLast="47" xr6:coauthVersionMax="47" xr10:uidLastSave="{00000000-0000-0000-0000-000000000000}"/>
  <bookViews>
    <workbookView xWindow="-120" yWindow="-120" windowWidth="29040" windowHeight="15720" xr2:uid="{D389009F-83B5-4A90-95AE-EE764C042639}"/>
  </bookViews>
  <sheets>
    <sheet name="Model" sheetId="1" r:id="rId1"/>
    <sheet name="Setup" sheetId="2" r:id="rId2"/>
  </sheets>
  <definedNames>
    <definedName name="_xleta.RATE" hidden="1" xlm="1">#NAME?</definedName>
    <definedName name="_xlpm.MATCH_ROW" hidden="1" xlm="1">#NAME?</definedName>
    <definedName name="_xlpm.minVal" hidden="1" xlm="1">#NAME?</definedName>
    <definedName name="_xlpm.targetRows" hidden="1" xlm="1">#NAME?</definedName>
    <definedName name="_xlpm.targetVal" hidden="1" xlm="1">#NAME?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7" i="1"/>
  <c r="N15" i="1" l="1"/>
  <c r="F17" i="2" a="1"/>
  <c r="F17" i="2" s="1"/>
  <c r="H17" i="2" a="1"/>
  <c r="H17" i="2" s="1"/>
  <c r="G17" i="2"/>
  <c r="E17" i="2"/>
  <c r="P5" i="1" a="1"/>
  <c r="P5" i="1" s="1"/>
  <c r="O5" i="1"/>
  <c r="N5" i="1" a="1"/>
  <c r="N5" i="1" s="1"/>
  <c r="M5" i="1"/>
  <c r="L5" i="1" a="1"/>
  <c r="L5" i="1" s="1"/>
  <c r="H4" i="1"/>
  <c r="I17" i="1" l="1"/>
  <c r="I14" i="1"/>
  <c r="I12" i="1"/>
  <c r="I11" i="1"/>
  <c r="I18" i="1"/>
  <c r="I10" i="1"/>
  <c r="I16" i="1"/>
  <c r="I15" i="1"/>
  <c r="I19" i="1"/>
  <c r="I20" i="1"/>
  <c r="I9" i="1"/>
  <c r="I13" i="1"/>
  <c r="I29" i="1"/>
  <c r="I30" i="1"/>
  <c r="I22" i="1"/>
  <c r="I21" i="1"/>
  <c r="I23" i="1"/>
  <c r="I27" i="1"/>
  <c r="I26" i="1"/>
  <c r="I25" i="1"/>
  <c r="I24" i="1"/>
  <c r="I28" i="1"/>
  <c r="I8" i="1"/>
  <c r="I7" i="1"/>
  <c r="R5" i="1" s="1" a="1"/>
  <c r="R5" i="1" s="1"/>
  <c r="D13" i="2" a="1"/>
  <c r="D13" i="2" s="1"/>
  <c r="Q5" i="1" a="1"/>
  <c r="Q5" i="1" s="1"/>
  <c r="M10" i="1"/>
  <c r="O10" i="1" s="1"/>
  <c r="M15" i="1" l="1"/>
  <c r="M16" i="1" s="1"/>
  <c r="N18" i="1"/>
  <c r="N17" i="1"/>
  <c r="M19" i="1"/>
  <c r="M20" i="1"/>
  <c r="N1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<sst xmlns="http://schemas.openxmlformats.org/spreadsheetml/2006/main" count="66" uniqueCount="33">
  <si>
    <t>Umbrella</t>
  </si>
  <si>
    <t>Carrier</t>
  </si>
  <si>
    <t>Attachment</t>
  </si>
  <si>
    <t>Limit</t>
  </si>
  <si>
    <t>Tower Capacity</t>
  </si>
  <si>
    <t>Price</t>
  </si>
  <si>
    <t>PPM</t>
  </si>
  <si>
    <t>Rate Relativity</t>
  </si>
  <si>
    <t>N/A</t>
  </si>
  <si>
    <t>Previous Layer</t>
  </si>
  <si>
    <t>Carrier(s)</t>
  </si>
  <si>
    <t>XS Tower</t>
  </si>
  <si>
    <t>Proposed Layer</t>
  </si>
  <si>
    <t>Multiple</t>
  </si>
  <si>
    <t>GAM Model</t>
  </si>
  <si>
    <t>QR Model</t>
  </si>
  <si>
    <t>Premium</t>
  </si>
  <si>
    <t>95% Upper RR</t>
  </si>
  <si>
    <t>95% Lower RR</t>
  </si>
  <si>
    <t>95% Upper Prem</t>
  </si>
  <si>
    <t>95% Lower Prem</t>
  </si>
  <si>
    <t>R.exe Path</t>
  </si>
  <si>
    <t>Folder File Path</t>
  </si>
  <si>
    <t>This area is a setup for the VBA read outs into R</t>
  </si>
  <si>
    <t>Umbrella Layer</t>
  </si>
  <si>
    <t>Layer 1 Grouped</t>
  </si>
  <si>
    <t>C:\Program Files\R\R-4.3.1\bin\x64\Rscript.exe</t>
  </si>
  <si>
    <t>C:\Users\alexc\OneDrive\Desktop\GAM Demo</t>
  </si>
  <si>
    <t>CNA Group</t>
  </si>
  <si>
    <t xml:space="preserve">AIG </t>
  </si>
  <si>
    <t xml:space="preserve">Liberty Mutual </t>
  </si>
  <si>
    <t>Zurich</t>
  </si>
  <si>
    <t>Navigators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</si>
</sst>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3" fontId="0" fillId="0" borderId="0" xfId="0" applyNumberFormat="1"/>
    <xf numFmtId="0" fontId="0" fillId="0" borderId="4" xfId="0" applyBorder="1"/>
    <xf numFmtId="0" fontId="0" fillId="3" borderId="0" xfId="0" applyFill="1"/>
    <xf numFmtId="0" fontId="1" fillId="0" borderId="0" xfId="0" applyFont="1"/>
    <xf numFmtId="0" fontId="0" fillId="0" borderId="0" xfId="0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4" fontId="0" fillId="4" borderId="2" xfId="0" applyNumberForma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6" xfId="0" applyFill="1" applyBorder="1"/>
    <xf numFmtId="3" fontId="0" fillId="4" borderId="7" xfId="0" applyNumberForma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4" xfId="0" applyBorder="1" applyAlignment="1">
      <alignment horizontal="center" vertical="center"/>
    </xf>
    <xf numFmtId="0" fontId="0" fillId="2" borderId="6" xfId="0" applyFill="1" applyBorder="1"/>
    <xf numFmtId="3" fontId="0" fillId="2" borderId="7" xfId="0" applyNumberFormat="1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0" fontId="0" fillId="0" borderId="1" xfId="0" applyBorder="1"/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0" borderId="5" xfId="0" applyBorder="1"/>
    <xf numFmtId="0" fontId="1" fillId="0" borderId="12" xfId="0" applyFont="1" applyBorder="1" applyAlignment="1">
      <alignment horizontal="left"/>
    </xf>
    <xf numFmtId="3" fontId="1" fillId="0" borderId="12" xfId="0" applyNumberFormat="1" applyFont="1" applyBorder="1" applyAlignment="1">
      <alignment horizontal="left" vertical="center"/>
    </xf>
    <xf numFmtId="2" fontId="0" fillId="5" borderId="13" xfId="0" applyNumberFormat="1" applyFill="1" applyBorder="1" applyAlignment="1">
      <alignment horizontal="center" vertical="center"/>
    </xf>
    <xf numFmtId="3" fontId="0" fillId="5" borderId="14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4" fontId="0" fillId="6" borderId="14" xfId="0" applyNumberFormat="1" applyFill="1" applyBorder="1" applyAlignment="1">
      <alignment horizontal="center"/>
    </xf>
    <xf numFmtId="3" fontId="0" fillId="6" borderId="14" xfId="0" applyNumberFormat="1" applyFill="1" applyBorder="1" applyAlignment="1">
      <alignment horizontal="center" vertical="center"/>
    </xf>
    <xf numFmtId="3" fontId="0" fillId="6" borderId="15" xfId="0" applyNumberFormat="1" applyFill="1" applyBorder="1" applyAlignment="1">
      <alignment horizontal="center" vertical="center"/>
    </xf>
    <xf numFmtId="2" fontId="0" fillId="5" borderId="16" xfId="0" applyNumberFormat="1" applyFill="1" applyBorder="1" applyAlignment="1">
      <alignment horizontal="center" vertical="center"/>
    </xf>
    <xf numFmtId="3" fontId="0" fillId="5" borderId="17" xfId="0" applyNumberFormat="1" applyFill="1" applyBorder="1" applyAlignment="1">
      <alignment horizontal="center" vertical="center"/>
    </xf>
    <xf numFmtId="165" fontId="0" fillId="6" borderId="17" xfId="0" applyNumberFormat="1" applyFill="1" applyBorder="1" applyAlignment="1">
      <alignment horizontal="center" vertical="center"/>
    </xf>
    <xf numFmtId="164" fontId="0" fillId="6" borderId="17" xfId="0" applyNumberFormat="1" applyFill="1" applyBorder="1" applyAlignment="1">
      <alignment horizontal="center"/>
    </xf>
    <xf numFmtId="3" fontId="0" fillId="6" borderId="17" xfId="0" applyNumberFormat="1" applyFill="1" applyBorder="1" applyAlignment="1">
      <alignment horizontal="center" vertical="center"/>
    </xf>
    <xf numFmtId="3" fontId="0" fillId="6" borderId="18" xfId="0" applyNumberFormat="1" applyFill="1" applyBorder="1" applyAlignment="1">
      <alignment horizontal="center" vertical="center"/>
    </xf>
    <xf numFmtId="3" fontId="0" fillId="0" borderId="0" xfId="0" applyNumberFormat="1" applyAlignment="1">
      <alignment horizontal="left"/>
    </xf>
    <xf numFmtId="3" fontId="0" fillId="4" borderId="19" xfId="0" applyNumberFormat="1" applyFill="1" applyBorder="1" applyAlignment="1">
      <alignment horizontal="center" vertical="center"/>
    </xf>
    <xf numFmtId="4" fontId="0" fillId="4" borderId="20" xfId="0" applyNumberFormat="1" applyFill="1" applyBorder="1" applyAlignment="1">
      <alignment horizontal="center" vertical="center"/>
    </xf>
    <xf numFmtId="3" fontId="0" fillId="4" borderId="3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 Model: Rate Relativity vs Attachment Point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XS Tower</c:v>
          </c:tx>
          <c:spPr>
            <a:ln w="25400">
              <a:solidFill>
                <a:srgbClr val="000000"/>
              </a:solidFill>
            </a:ln>
          </c:spPr>
          <c:marker>
            <c:symbol val="circle"/>
            <c:size val="5"/>
            <c:spPr>
              <a:ln w="25400">
                <a:solidFill>
                  <a:srgbClr val="000000"/>
                </a:solidFill>
              </a:ln>
            </c:spPr>
          </c:marker>
          <c:xVal>
            <c:numLit>
              <c:formatCode>General</c:formatCode>
              <c:ptCount val="4"/>
              <c:pt idx="0">
                <c:v>15000000</c:v>
              </c:pt>
              <c:pt idx="1">
                <c:v>30000000</c:v>
              </c:pt>
              <c:pt idx="2">
                <c:v>55000000</c:v>
              </c:pt>
              <c:pt idx="3">
                <c:v>75000000</c:v>
              </c:pt>
            </c:numLit>
          </c:xVal>
          <c:yVal>
            <c:numLit>
              <c:formatCode>General</c:formatCode>
              <c:ptCount val="4"/>
              <c:pt idx="0">
                <c:v>0.54021641069412407</c:v>
              </c:pt>
              <c:pt idx="1">
                <c:v>0.49709999999999999</c:v>
              </c:pt>
              <c:pt idx="2">
                <c:v>0.76191913095956543</c:v>
              </c:pt>
              <c:pt idx="3">
                <c:v>0.79200000000000004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9A8-4EE2-AEBF-ED0F98B05AD3}"/>
            </c:ext>
          </c:extLst>
        </c:ser>
        <c:ser>
          <c:idx val="1"/>
          <c:order val="1"/>
          <c:tx>
            <c:v>Proposed Layer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E97132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8"/>
            <c:spPr>
              <a:solidFill>
                <a:srgbClr val="CC00FF"/>
              </a:solidFill>
              <a:ln w="12700">
                <a:solidFill>
                  <a:srgbClr val="CC00FF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E97132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100000000</c:v>
              </c:pt>
            </c:numLit>
          </c:xVal>
          <c:yVal>
            <c:numLit>
              <c:formatCode>General</c:formatCode>
              <c:ptCount val="1"/>
              <c:pt idx="0">
                <c:v>0.89028714960528099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9A8-4EE2-AEBF-ED0F98B05AD3}"/>
            </c:ext>
          </c:extLst>
        </c:ser>
        <c:ser>
          <c:idx val="2"/>
          <c:order val="2"/>
          <c:tx>
            <c:v>CI Vertical</c:v>
          </c:tx>
          <c:spPr>
            <a:ln w="19050">
              <a:solidFill>
                <a:srgbClr val="660099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100000000</c:v>
              </c:pt>
              <c:pt idx="1">
                <c:v>100000000</c:v>
              </c:pt>
            </c:numLit>
          </c:xVal>
          <c:yVal>
            <c:numLit>
              <c:formatCode>General</c:formatCode>
              <c:ptCount val="2"/>
              <c:pt idx="0">
                <c:v>0.86010412834795202</c:v>
              </c:pt>
              <c:pt idx="1">
                <c:v>0.92047017086260996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9A8-4EE2-AEBF-ED0F98B05AD3}"/>
            </c:ext>
          </c:extLst>
        </c:ser>
        <c:ser>
          <c:idx val="3"/>
          <c:order val="3"/>
          <c:tx>
            <c:v>CI Lower Cap (0.86)</c:v>
          </c:tx>
          <c:spPr>
            <a:ln w="19050">
              <a:solidFill>
                <a:srgbClr val="660099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99000000</c:v>
              </c:pt>
              <c:pt idx="1">
                <c:v>101000000</c:v>
              </c:pt>
            </c:numLit>
          </c:xVal>
          <c:yVal>
            <c:numLit>
              <c:formatCode>General</c:formatCode>
              <c:ptCount val="2"/>
              <c:pt idx="0">
                <c:v>0.86010412834795202</c:v>
              </c:pt>
              <c:pt idx="1">
                <c:v>0.86010412834795202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69A8-4EE2-AEBF-ED0F98B05AD3}"/>
            </c:ext>
          </c:extLst>
        </c:ser>
        <c:ser>
          <c:idx val="4"/>
          <c:order val="4"/>
          <c:tx>
            <c:v>CI Upper Cap (0.92)</c:v>
          </c:tx>
          <c:spPr>
            <a:ln w="19050">
              <a:solidFill>
                <a:srgbClr val="660099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99000000</c:v>
              </c:pt>
              <c:pt idx="1">
                <c:v>101000000</c:v>
              </c:pt>
            </c:numLit>
          </c:xVal>
          <c:yVal>
            <c:numLit>
              <c:formatCode>General</c:formatCode>
              <c:ptCount val="2"/>
              <c:pt idx="0">
                <c:v>0.92047017086260996</c:v>
              </c:pt>
              <c:pt idx="1">
                <c:v>0.92047017086260996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69A8-4EE2-AEBF-ED0F98B05AD3}"/>
            </c:ext>
          </c:extLst>
        </c:ser>
        <c:ser>
          <c:idx val="5"/>
          <c:order val="5"/>
          <c:tx>
            <c:v>Connector Line</c:v>
          </c:tx>
          <c:spPr>
            <a:ln w="19050">
              <a:solidFill>
                <a:srgbClr val="A0A0A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75000000</c:v>
              </c:pt>
              <c:pt idx="1">
                <c:v>100000000</c:v>
              </c:pt>
            </c:numLit>
          </c:xVal>
          <c:yVal>
            <c:numLit>
              <c:formatCode>General</c:formatCode>
              <c:ptCount val="2"/>
              <c:pt idx="0">
                <c:v>0.79200000000000004</c:v>
              </c:pt>
              <c:pt idx="1">
                <c:v>0.89028714960528099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69A8-4EE2-AEBF-ED0F98B05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384831"/>
        <c:axId val="1037385311"/>
      </c:scatterChart>
      <c:valAx>
        <c:axId val="1037384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Attachment Point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7385311"/>
        <c:crosses val="autoZero"/>
        <c:crossBetween val="midCat"/>
      </c:valAx>
      <c:valAx>
        <c:axId val="1037385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Rate Relativity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738483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QR Model: Rate Relativity vs Attachment Point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XS Tower</c:v>
          </c:tx>
          <c:spPr>
            <a:ln w="25400">
              <a:solidFill>
                <a:srgbClr val="000000"/>
              </a:solidFill>
            </a:ln>
          </c:spPr>
          <c:marker>
            <c:symbol val="circle"/>
            <c:size val="5"/>
            <c:spPr>
              <a:ln w="25400">
                <a:solidFill>
                  <a:srgbClr val="000000"/>
                </a:solidFill>
              </a:ln>
            </c:spPr>
          </c:marker>
          <c:xVal>
            <c:numLit>
              <c:formatCode>General</c:formatCode>
              <c:ptCount val="4"/>
              <c:pt idx="0">
                <c:v>15000000</c:v>
              </c:pt>
              <c:pt idx="1">
                <c:v>30000000</c:v>
              </c:pt>
              <c:pt idx="2">
                <c:v>55000000</c:v>
              </c:pt>
              <c:pt idx="3">
                <c:v>75000000</c:v>
              </c:pt>
            </c:numLit>
          </c:xVal>
          <c:yVal>
            <c:numLit>
              <c:formatCode>General</c:formatCode>
              <c:ptCount val="4"/>
              <c:pt idx="0">
                <c:v>0.54021641069412407</c:v>
              </c:pt>
              <c:pt idx="1">
                <c:v>0.49709999999999999</c:v>
              </c:pt>
              <c:pt idx="2">
                <c:v>0.76191913095956543</c:v>
              </c:pt>
              <c:pt idx="3">
                <c:v>0.79200000000000004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148-4703-8081-62DB29EB34A8}"/>
            </c:ext>
          </c:extLst>
        </c:ser>
        <c:ser>
          <c:idx val="1"/>
          <c:order val="1"/>
          <c:tx>
            <c:v>Proposed Layer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E97132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8"/>
            <c:spPr>
              <a:solidFill>
                <a:srgbClr val="CC00FF"/>
              </a:solidFill>
              <a:ln w="12700">
                <a:solidFill>
                  <a:srgbClr val="CC00FF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E97132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100000000</c:v>
              </c:pt>
            </c:numLit>
          </c:xVal>
          <c:yVal>
            <c:numLit>
              <c:formatCode>General</c:formatCode>
              <c:ptCount val="1"/>
              <c:pt idx="0">
                <c:v>0.72830720159746976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148-4703-8081-62DB29EB34A8}"/>
            </c:ext>
          </c:extLst>
        </c:ser>
        <c:ser>
          <c:idx val="2"/>
          <c:order val="2"/>
          <c:tx>
            <c:v>Connector Line</c:v>
          </c:tx>
          <c:spPr>
            <a:ln w="19050">
              <a:solidFill>
                <a:srgbClr val="A0A0A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75000000</c:v>
              </c:pt>
              <c:pt idx="1">
                <c:v>100000000</c:v>
              </c:pt>
            </c:numLit>
          </c:xVal>
          <c:yVal>
            <c:numLit>
              <c:formatCode>General</c:formatCode>
              <c:ptCount val="2"/>
              <c:pt idx="0">
                <c:v>0.79200000000000004</c:v>
              </c:pt>
              <c:pt idx="1">
                <c:v>0.72830720159746976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8148-4703-8081-62DB29EB3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384831"/>
        <c:axId val="543376047"/>
      </c:scatterChart>
      <c:valAx>
        <c:axId val="1037384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Attachment Point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3376047"/>
        <c:crosses val="autoZero"/>
        <c:crossBetween val="midCat"/>
      </c:valAx>
      <c:valAx>
        <c:axId val="543376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Rate Relativity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738483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7</xdr:row>
          <xdr:rowOff>19050</xdr:rowOff>
        </xdr:from>
        <xdr:to>
          <xdr:col>18</xdr:col>
          <xdr:colOff>447675</xdr:colOff>
          <xdr:row>10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Calculate Rate Relativity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352425</xdr:colOff>
      <xdr:row>21</xdr:row>
      <xdr:rowOff>50800</xdr:rowOff>
    </xdr:from>
    <xdr:to>
      <xdr:col>16</xdr:col>
      <xdr:colOff>371475</xdr:colOff>
      <xdr:row>42</xdr:row>
      <xdr:rowOff>168275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30B9DC-1D98-0957-AC0A-CE193D9A84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396875</xdr:colOff>
      <xdr:row>21</xdr:row>
      <xdr:rowOff>50800</xdr:rowOff>
    </xdr:from>
    <xdr:to>
      <xdr:col>26</xdr:col>
      <xdr:colOff>349250</xdr:colOff>
      <xdr:row>42</xdr:row>
      <xdr:rowOff>168275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71A229-EF1F-235C-AA1C-EBE927C94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E8D8D-CC11-484A-8356-5E94191FA8CC}">
  <sheetPr codeName="Sheet1"/>
  <dimension ref="B3:R31"/>
  <sheetViews>
    <sheetView showGridLines="0" tabSelected="1" zoomScale="80" zoomScaleNormal="80" workbookViewId="0">
      <selection activeCell="N12" sqref="N12"/>
    </sheetView>
  </sheetViews>
  <sheetFormatPr defaultRowHeight="15" x14ac:dyDescent="0.25"/>
  <cols>
    <col min="2" max="2" width="14.7109375" bestFit="1" customWidth="1"/>
    <col min="3" max="3" width="13.28515625" customWidth="1"/>
    <col min="4" max="4" width="14.140625" customWidth="1"/>
    <col min="5" max="5" width="11.140625" bestFit="1" customWidth="1"/>
    <col min="6" max="6" width="14.5703125" bestFit="1" customWidth="1"/>
    <col min="7" max="7" width="10.140625" bestFit="1" customWidth="1"/>
    <col min="9" max="9" width="12.7109375" bestFit="1" customWidth="1"/>
    <col min="11" max="11" width="14.5703125" bestFit="1" customWidth="1"/>
    <col min="12" max="12" width="15.42578125" bestFit="1" customWidth="1"/>
    <col min="13" max="13" width="11.7109375" bestFit="1" customWidth="1"/>
    <col min="14" max="14" width="11" customWidth="1"/>
    <col min="15" max="15" width="14.42578125" bestFit="1" customWidth="1"/>
    <col min="18" max="18" width="13.28515625" bestFit="1" customWidth="1"/>
  </cols>
  <sheetData>
    <row r="3" spans="2:18" ht="15.75" thickBot="1" x14ac:dyDescent="0.3">
      <c r="B3" s="4" t="s">
        <v>0</v>
      </c>
      <c r="C3" s="2" t="s">
        <v>1</v>
      </c>
      <c r="D3" s="16" t="s">
        <v>2</v>
      </c>
      <c r="E3" s="16" t="s">
        <v>3</v>
      </c>
      <c r="F3" s="16" t="s">
        <v>4</v>
      </c>
      <c r="G3" s="16" t="s">
        <v>5</v>
      </c>
      <c r="H3" s="16" t="s">
        <v>6</v>
      </c>
      <c r="I3" s="16" t="s">
        <v>7</v>
      </c>
    </row>
    <row r="4" spans="2:18" ht="15.75" thickBot="1" x14ac:dyDescent="0.3">
      <c r="B4" s="14"/>
      <c r="C4" t="s">
        <v>28</v>
      </c>
      <c r="D4">
        <v>0</v>
      </c>
      <c r="E4">
        <v>15000000</v>
      </c>
      <c r="F4">
        <v>15000000</v>
      </c>
      <c r="G4">
        <v>185111</v>
      </c>
      <c r="H4" s="9">
        <f>G4/(E4/1000000)</f>
        <v>12340.733333333334</v>
      </c>
      <c r="I4" s="10" t="s">
        <v>8</v>
      </c>
      <c r="K4" s="4" t="s">
        <v>9</v>
      </c>
      <c r="L4" t="s">
        <v>10</v>
      </c>
      <c r="M4" s="5" t="s">
        <v>2</v>
      </c>
      <c r="N4" s="5" t="s">
        <v>3</v>
      </c>
      <c r="O4" s="5" t="s">
        <v>4</v>
      </c>
      <c r="P4" s="5" t="s">
        <v>5</v>
      </c>
      <c r="Q4" s="5" t="s">
        <v>6</v>
      </c>
      <c r="R4" s="5" t="s">
        <v>7</v>
      </c>
    </row>
    <row r="5" spans="2:18" ht="15.75" thickBot="1" x14ac:dyDescent="0.3">
      <c r="C5" s="15"/>
      <c r="D5" s="15"/>
      <c r="E5" s="15"/>
      <c r="F5" s="15"/>
      <c r="G5" s="15"/>
      <c r="L5" s="11" t="str" cm="1">
        <f t="array" ref="L5">IF(C7="",C4,_xlfn.LET(_xlpm.x,_xlfn._xlws.FILTER(C7:C30, D7:D30=MAX(D7:D30)), IF(COUNTA(_xlfn.UNIQUE(_xlpm.x))=1, INDEX(_xlpm.x,1), "Multiple")))</f>
        <v>Navigators</v>
      </c>
      <c r="M5" s="12">
        <f>IF(D7="",D4,MAX(D7:D30))</f>
        <v>75000000</v>
      </c>
      <c r="N5" s="12" cm="1">
        <f t="array" ref="N5">IF(E7="",E4,_xlfn.LET(_xlpm.x,_xlfn._xlws.FILTER(E7:E30, D7:D30 = MAX(D7:D30)), SUM(_xlpm.x)))</f>
        <v>25000000</v>
      </c>
      <c r="O5" s="12">
        <f>IF(F7="",F4,MAX(F7:F30))</f>
        <v>100000000</v>
      </c>
      <c r="P5" s="12" cm="1">
        <f t="array" ref="P5">IF(G7="",G4,_xlfn.LET(_xlpm.x,_xlfn._xlws.FILTER(G7:G30, D7:D30 = MAX(D7:D30)), SUM(_xlpm.x)))</f>
        <v>49995</v>
      </c>
      <c r="Q5" s="12" cm="1">
        <f t="array" ref="Q5">IF(H7="",H4,_xlfn.LET(_xlpm.x,_xlfn._xlws.FILTER(H7:H30, D7:D30=MAX(D7:D30)), IF(COUNTA(_xlfn.UNIQUE(_xlpm.x))=1, INDEX(_xlpm.x,1), AVERAGE(_xlpm.x))))</f>
        <v>1999.8</v>
      </c>
      <c r="R5" s="13" cm="1">
        <f t="array" ref="R5">IF(I7="",I4,_xlfn.LET(_xlpm.x,_xlfn._xlws.FILTER(I7:I30, D7:D30=MAX(D7:D30)), IF(COUNTA(_xlfn.UNIQUE(_xlpm.x))=1, INDEX(_xlpm.x,1), AVERAGE(_xlpm.x))))</f>
        <v>0.79200000000000004</v>
      </c>
    </row>
    <row r="6" spans="2:18" ht="15.75" thickBot="1" x14ac:dyDescent="0.3">
      <c r="B6" s="4" t="s">
        <v>11</v>
      </c>
      <c r="C6" s="2" t="s">
        <v>1</v>
      </c>
      <c r="D6" s="16" t="s">
        <v>2</v>
      </c>
      <c r="E6" s="16" t="s">
        <v>3</v>
      </c>
      <c r="F6" s="16" t="s">
        <v>4</v>
      </c>
      <c r="G6" s="16" t="s">
        <v>5</v>
      </c>
      <c r="H6" s="5" t="s">
        <v>6</v>
      </c>
      <c r="I6" s="5" t="s">
        <v>7</v>
      </c>
    </row>
    <row r="7" spans="2:18" x14ac:dyDescent="0.25">
      <c r="B7" s="14"/>
      <c r="C7" t="s">
        <v>29</v>
      </c>
      <c r="D7">
        <v>15000000</v>
      </c>
      <c r="E7">
        <v>15000000</v>
      </c>
      <c r="F7">
        <v>100000000</v>
      </c>
      <c r="G7">
        <v>100000</v>
      </c>
      <c r="H7" s="6">
        <f>IFERROR(SUMIFS(G$7:G$30, D$7:D$30, D7) / SUMIFS(E$7:E$30, D$7:D$30, D7) * 1000000, "")</f>
        <v>6666.666666666667</v>
      </c>
      <c r="I7" s="7">
        <f>IFERROR(IF(D7=$F$4, H7/$H$4, H7/INDEX($H$7:H7, MATCH(LARGE(_xlfn.UNIQUE($D$7:D7), 2), $D$7:D7, 0))),
  ""
)</f>
        <v>0.54021641069412407</v>
      </c>
    </row>
    <row r="8" spans="2:18" x14ac:dyDescent="0.25">
      <c r="B8" s="14"/>
      <c r="C8" t="s">
        <v>30</v>
      </c>
      <c r="D8">
        <v>30000000</v>
      </c>
      <c r="E8">
        <v>25000000</v>
      </c>
      <c r="F8">
        <v>100000000</v>
      </c>
      <c r="G8">
        <v>82850</v>
      </c>
      <c r="H8" s="40">
        <f t="shared" ref="H8:H30" si="0">IFERROR(SUMIFS(G$7:G$30, D$7:D$30, D8) / SUMIFS(E$7:E$30, D$7:D$30, D8) * 1000000, "")</f>
        <v>3314</v>
      </c>
      <c r="I8" s="41">
        <f>IFERROR(IF(D8=$F$4, H8/$H$4, H8/INDEX($H$7:H8, MATCH(LARGE(_xlfn.UNIQUE($D$7:D8), 2), $D$7:D8, 0))),
  ""
)</f>
        <v>0.49709999999999999</v>
      </c>
      <c r="K8" s="4" t="s">
        <v>12</v>
      </c>
    </row>
    <row r="9" spans="2:18" ht="15.75" thickBot="1" x14ac:dyDescent="0.3">
      <c r="B9" s="14"/>
      <c r="C9" t="s">
        <v>31</v>
      </c>
      <c r="D9">
        <v>55000000</v>
      </c>
      <c r="E9">
        <v>20000000</v>
      </c>
      <c r="F9">
        <v>100000000</v>
      </c>
      <c r="G9">
        <v>50500</v>
      </c>
      <c r="H9" s="40">
        <f t="shared" si="0"/>
        <v>2525</v>
      </c>
      <c r="I9" s="41">
        <f>IFERROR(IF(D9=$F$4, H9/$H$4, H9/INDEX($H$7:H9, MATCH(LARGE(_xlfn.UNIQUE($D$7:D9), 2), $D$7:D9, 0))),
  ""
)</f>
        <v>0.76191913095956543</v>
      </c>
      <c r="L9" t="s">
        <v>10</v>
      </c>
      <c r="M9" s="5" t="s">
        <v>2</v>
      </c>
      <c r="N9" s="5" t="s">
        <v>3</v>
      </c>
      <c r="O9" s="5" t="s">
        <v>4</v>
      </c>
    </row>
    <row r="10" spans="2:18" ht="15.75" thickBot="1" x14ac:dyDescent="0.3">
      <c r="B10" s="14"/>
      <c r="C10" t="s">
        <v>32</v>
      </c>
      <c r="D10">
        <v>75000000</v>
      </c>
      <c r="E10">
        <v>25000000</v>
      </c>
      <c r="F10">
        <v>100000000</v>
      </c>
      <c r="G10">
        <v>49995</v>
      </c>
      <c r="H10" s="40">
        <f t="shared" si="0"/>
        <v>1999.8</v>
      </c>
      <c r="I10" s="41">
        <f>IFERROR(IF(D10=$F$4, H10/$H$4, H10/INDEX($H$7:H10, MATCH(LARGE(_xlfn.UNIQUE($D$7:D10), 2), $D$7:D10, 0))),
  ""
)</f>
        <v>0.79200000000000004</v>
      </c>
      <c r="L10" s="17" t="s">
        <v>13</v>
      </c>
      <c r="M10" s="12">
        <f>O5</f>
        <v>100000000</v>
      </c>
      <c r="N10" s="18">
        <v>25000000</v>
      </c>
      <c r="O10" s="19">
        <f>M10+N10</f>
        <v>125000000</v>
      </c>
    </row>
    <row r="11" spans="2:18" x14ac:dyDescent="0.25">
      <c r="B11" s="14"/>
      <c r="D11" s="39"/>
      <c r="E11" s="39"/>
      <c r="F11" s="39"/>
      <c r="G11" s="39"/>
      <c r="H11" s="40" t="str">
        <f t="shared" si="0"/>
        <v/>
      </c>
      <c r="I11" s="41" t="str">
        <f>IFERROR(IF(D11=$F$4, H11/$H$4, H11/INDEX($H$7:H11, MATCH(LARGE(_xlfn.UNIQUE($D$7:D11), 2), $D$7:D11, 0))),
  ""
)</f>
        <v/>
      </c>
      <c r="M11" s="1"/>
      <c r="N11" s="1"/>
      <c r="O11" s="1"/>
    </row>
    <row r="12" spans="2:18" ht="15" customHeight="1" x14ac:dyDescent="0.25">
      <c r="B12" s="14"/>
      <c r="D12" s="39"/>
      <c r="E12" s="39"/>
      <c r="F12" s="39"/>
      <c r="G12" s="39"/>
      <c r="H12" s="40" t="str">
        <f t="shared" si="0"/>
        <v/>
      </c>
      <c r="I12" s="41" t="str">
        <f>IFERROR(IF(D12=$F$4, H12/$H$4, H12/INDEX($H$7:H12, MATCH(LARGE(_xlfn.UNIQUE($D$7:D12), 2), $D$7:D12, 0))),
  ""
)</f>
        <v/>
      </c>
    </row>
    <row r="13" spans="2:18" ht="15.75" thickBot="1" x14ac:dyDescent="0.3">
      <c r="B13" s="14"/>
      <c r="D13" s="39"/>
      <c r="E13" s="39"/>
      <c r="F13" s="39"/>
      <c r="G13" s="39"/>
      <c r="H13" s="40" t="str">
        <f t="shared" si="0"/>
        <v/>
      </c>
      <c r="I13" s="41" t="str">
        <f>IFERROR(IF(D13=$F$4, H13/$H$4, H13/INDEX($H$7:H13, MATCH(LARGE(_xlfn.UNIQUE($D$7:D13), 2), $D$7:D13, 0))),
  ""
)</f>
        <v/>
      </c>
      <c r="M13" s="5" t="s">
        <v>14</v>
      </c>
      <c r="N13" s="5" t="s">
        <v>15</v>
      </c>
    </row>
    <row r="14" spans="2:18" x14ac:dyDescent="0.25">
      <c r="B14" s="14"/>
      <c r="D14" s="39"/>
      <c r="E14" s="39"/>
      <c r="F14" s="39"/>
      <c r="G14" s="39"/>
      <c r="H14" s="40" t="str">
        <f t="shared" si="0"/>
        <v/>
      </c>
      <c r="I14" s="41" t="str">
        <f>IFERROR(IF(D14=$F$4, H14/$H$4, H14/INDEX($H$7:H14, MATCH(LARGE(_xlfn.UNIQUE($D$7:D14), 2), $D$7:D14, 0))),
  ""
)</f>
        <v/>
      </c>
      <c r="L14" s="25" t="s">
        <v>7</v>
      </c>
      <c r="M14" s="33">
        <v>0.89028714960528099</v>
      </c>
      <c r="N14" s="27">
        <f>N15/Q5</f>
        <v>0.72830720159746976</v>
      </c>
    </row>
    <row r="15" spans="2:18" x14ac:dyDescent="0.25">
      <c r="B15" s="14"/>
      <c r="D15" s="39"/>
      <c r="E15" s="39"/>
      <c r="F15" s="39"/>
      <c r="G15" s="39"/>
      <c r="H15" s="40" t="str">
        <f t="shared" si="0"/>
        <v/>
      </c>
      <c r="I15" s="41" t="str">
        <f>IFERROR(IF(D15=$F$4, H15/$H$4, H15/INDEX($H$7:H15, MATCH(LARGE(_xlfn.UNIQUE($D$7:D15), 2), $D$7:D15, 0))),
  ""
)</f>
        <v/>
      </c>
      <c r="L15" s="25" t="s">
        <v>6</v>
      </c>
      <c r="M15" s="34">
        <f>M14*Q5</f>
        <v>1780.3962417806408</v>
      </c>
      <c r="N15" s="28">
        <f>N16/(N10/1000000)</f>
        <v>1456.4687417546199</v>
      </c>
    </row>
    <row r="16" spans="2:18" x14ac:dyDescent="0.25">
      <c r="B16" s="14"/>
      <c r="D16" s="39"/>
      <c r="E16" s="39"/>
      <c r="F16" s="39"/>
      <c r="G16" s="39"/>
      <c r="H16" s="40" t="str">
        <f t="shared" si="0"/>
        <v/>
      </c>
      <c r="I16" s="41" t="str">
        <f>IFERROR(IF(D16=$F$4, H16/$H$4, H16/INDEX($H$7:H16, MATCH(LARGE(_xlfn.UNIQUE($D$7:D16), 2), $D$7:D16, 0))),
  ""
)</f>
        <v/>
      </c>
      <c r="L16" s="25" t="s">
        <v>16</v>
      </c>
      <c r="M16" s="34">
        <f>M15*(N10/1000000)</f>
        <v>44509.906044516021</v>
      </c>
      <c r="N16" s="28">
        <v>36411.7185438655</v>
      </c>
    </row>
    <row r="17" spans="2:16" x14ac:dyDescent="0.25">
      <c r="B17" s="14"/>
      <c r="D17" s="39"/>
      <c r="E17" s="39"/>
      <c r="F17" s="39"/>
      <c r="G17" s="39"/>
      <c r="H17" s="40" t="str">
        <f t="shared" si="0"/>
        <v/>
      </c>
      <c r="I17" s="41" t="str">
        <f>IFERROR(IF(D17=$F$4, H17/$H$4, H17/INDEX($H$7:H17, MATCH(LARGE(_xlfn.UNIQUE($D$7:D17), 2), $D$7:D17, 0))),
  ""
)</f>
        <v/>
      </c>
      <c r="L17" s="26" t="s">
        <v>17</v>
      </c>
      <c r="M17" s="35">
        <v>0.92047017086260996</v>
      </c>
      <c r="N17" s="29">
        <f>(N19/(N10/1000000))/Q5</f>
        <v>2.8944807835561761</v>
      </c>
      <c r="O17" s="8"/>
    </row>
    <row r="18" spans="2:16" x14ac:dyDescent="0.25">
      <c r="B18" s="14"/>
      <c r="D18" s="39"/>
      <c r="E18" s="39"/>
      <c r="F18" s="39"/>
      <c r="G18" s="39"/>
      <c r="H18" s="40" t="str">
        <f t="shared" si="0"/>
        <v/>
      </c>
      <c r="I18" s="41" t="str">
        <f>IFERROR(IF(D18=$F$4, H18/$H$4, H18/INDEX($H$7:H18, MATCH(LARGE(_xlfn.UNIQUE($D$7:D18), 2), $D$7:D18, 0))),
  ""
)</f>
        <v/>
      </c>
      <c r="L18" s="26" t="s">
        <v>18</v>
      </c>
      <c r="M18" s="36">
        <v>0.86010412834795202</v>
      </c>
      <c r="N18" s="30">
        <f>(N20/(N10/1000000))/Q5</f>
        <v>0.23961076926816283</v>
      </c>
    </row>
    <row r="19" spans="2:16" x14ac:dyDescent="0.25">
      <c r="B19" s="14"/>
      <c r="D19" s="39"/>
      <c r="E19" s="39"/>
      <c r="F19" s="39"/>
      <c r="G19" s="39"/>
      <c r="H19" s="40" t="str">
        <f t="shared" si="0"/>
        <v/>
      </c>
      <c r="I19" s="41" t="str">
        <f>IFERROR(IF(D19=$F$4, H19/$H$4, H19/INDEX($H$7:H19, MATCH(LARGE(_xlfn.UNIQUE($D$7:D19), 2), $D$7:D19, 0))),
  ""
)</f>
        <v/>
      </c>
      <c r="L19" s="25" t="s">
        <v>19</v>
      </c>
      <c r="M19" s="37">
        <f>(M17*Q5)*(N10/1000000)</f>
        <v>46018.906192276183</v>
      </c>
      <c r="N19" s="31">
        <v>144709.56677389101</v>
      </c>
      <c r="O19" s="8"/>
      <c r="P19" s="8"/>
    </row>
    <row r="20" spans="2:16" ht="15.75" thickBot="1" x14ac:dyDescent="0.3">
      <c r="B20" s="14"/>
      <c r="D20" s="39"/>
      <c r="E20" s="39"/>
      <c r="F20" s="39"/>
      <c r="G20" s="39"/>
      <c r="H20" s="40" t="str">
        <f t="shared" si="0"/>
        <v/>
      </c>
      <c r="I20" s="41" t="str">
        <f>IFERROR(IF(D20=$F$4, H20/$H$4, H20/INDEX($H$7:H20, MATCH(LARGE(_xlfn.UNIQUE($D$7:D20), 2), $D$7:D20, 0))),
  ""
)</f>
        <v/>
      </c>
      <c r="L20" s="25" t="s">
        <v>20</v>
      </c>
      <c r="M20" s="38">
        <f>(M18*Q5)*(N10/1000000)</f>
        <v>43000.905896755859</v>
      </c>
      <c r="N20" s="32">
        <v>11979.340409561801</v>
      </c>
      <c r="O20" s="8"/>
      <c r="P20" s="8"/>
    </row>
    <row r="21" spans="2:16" x14ac:dyDescent="0.25">
      <c r="B21" s="14"/>
      <c r="D21" s="8"/>
      <c r="E21" s="8"/>
      <c r="F21" s="8"/>
      <c r="G21" s="8"/>
      <c r="H21" s="40" t="str">
        <f t="shared" si="0"/>
        <v/>
      </c>
      <c r="I21" s="41" t="str">
        <f>IFERROR(IF(D21=$F$4, H21/$H$4, H21/INDEX($H$7:H21, MATCH(LARGE(_xlfn.UNIQUE($D$7:D21), 2), $D$7:D21, 0))),
  ""
)</f>
        <v/>
      </c>
    </row>
    <row r="22" spans="2:16" x14ac:dyDescent="0.25">
      <c r="B22" s="14"/>
      <c r="D22" s="8"/>
      <c r="E22" s="8"/>
      <c r="F22" s="8"/>
      <c r="G22" s="8"/>
      <c r="H22" s="40" t="str">
        <f t="shared" si="0"/>
        <v/>
      </c>
      <c r="I22" s="41" t="str">
        <f>IFERROR(IF(D22=$F$4, H22/$H$4, H22/INDEX($H$7:H22, MATCH(LARGE(_xlfn.UNIQUE($D$7:D22), 2), $D$7:D22, 0))),
  ""
)</f>
        <v/>
      </c>
    </row>
    <row r="23" spans="2:16" x14ac:dyDescent="0.25">
      <c r="B23" s="14"/>
      <c r="D23" s="8"/>
      <c r="E23" s="8"/>
      <c r="F23" s="8"/>
      <c r="G23" s="8"/>
      <c r="H23" s="40" t="str">
        <f t="shared" si="0"/>
        <v/>
      </c>
      <c r="I23" s="41" t="str">
        <f>IFERROR(IF(D23=$F$4, H23/$H$4, H23/INDEX($H$7:H23, MATCH(LARGE(_xlfn.UNIQUE($D$7:D23), 2), $D$7:D23, 0))),
  ""
)</f>
        <v/>
      </c>
    </row>
    <row r="24" spans="2:16" x14ac:dyDescent="0.25">
      <c r="B24" s="14"/>
      <c r="D24" s="8"/>
      <c r="E24" s="8"/>
      <c r="F24" s="8"/>
      <c r="G24" s="8"/>
      <c r="H24" s="40" t="str">
        <f t="shared" si="0"/>
        <v/>
      </c>
      <c r="I24" s="41" t="str">
        <f>IFERROR(IF(D24=$F$4, H24/$H$4, H24/INDEX($H$7:H24, MATCH(LARGE(_xlfn.UNIQUE($D$7:D24), 2), $D$7:D24, 0))),
  ""
)</f>
        <v/>
      </c>
    </row>
    <row r="25" spans="2:16" x14ac:dyDescent="0.25">
      <c r="B25" s="14"/>
      <c r="D25" s="8"/>
      <c r="E25" s="8"/>
      <c r="F25" s="8"/>
      <c r="G25" s="8"/>
      <c r="H25" s="40" t="str">
        <f t="shared" si="0"/>
        <v/>
      </c>
      <c r="I25" s="41" t="str">
        <f>IFERROR(IF(D25=$F$4, H25/$H$4, H25/INDEX($H$7:H25, MATCH(LARGE(_xlfn.UNIQUE($D$7:D25), 2), $D$7:D25, 0))),
  ""
)</f>
        <v/>
      </c>
    </row>
    <row r="26" spans="2:16" x14ac:dyDescent="0.25">
      <c r="B26" s="14"/>
      <c r="D26" s="8"/>
      <c r="E26" s="8"/>
      <c r="F26" s="8"/>
      <c r="G26" s="8"/>
      <c r="H26" s="40" t="str">
        <f t="shared" si="0"/>
        <v/>
      </c>
      <c r="I26" s="41" t="str">
        <f>IFERROR(IF(D26=$F$4, H26/$H$4, H26/INDEX($H$7:H26, MATCH(LARGE(_xlfn.UNIQUE($D$7:D26), 2), $D$7:D26, 0))),
  ""
)</f>
        <v/>
      </c>
    </row>
    <row r="27" spans="2:16" x14ac:dyDescent="0.25">
      <c r="B27" s="14"/>
      <c r="D27" s="8"/>
      <c r="E27" s="8"/>
      <c r="F27" s="8"/>
      <c r="G27" s="8"/>
      <c r="H27" s="40" t="str">
        <f t="shared" si="0"/>
        <v/>
      </c>
      <c r="I27" s="41" t="str">
        <f>IFERROR(IF(D27=$F$4, H27/$H$4, H27/INDEX($H$7:H27, MATCH(LARGE(_xlfn.UNIQUE($D$7:D27), 2), $D$7:D27, 0))),
  ""
)</f>
        <v/>
      </c>
    </row>
    <row r="28" spans="2:16" x14ac:dyDescent="0.25">
      <c r="B28" s="14"/>
      <c r="D28" s="8"/>
      <c r="E28" s="8"/>
      <c r="F28" s="8"/>
      <c r="G28" s="8"/>
      <c r="H28" s="40" t="str">
        <f t="shared" si="0"/>
        <v/>
      </c>
      <c r="I28" s="41" t="str">
        <f>IFERROR(IF(D28=$F$4, H28/$H$4, H28/INDEX($H$7:H28, MATCH(LARGE(_xlfn.UNIQUE($D$7:D28), 2), $D$7:D28, 0))),
  ""
)</f>
        <v/>
      </c>
    </row>
    <row r="29" spans="2:16" x14ac:dyDescent="0.25">
      <c r="B29" s="14"/>
      <c r="D29" s="8"/>
      <c r="E29" s="8"/>
      <c r="F29" s="8"/>
      <c r="G29" s="8"/>
      <c r="H29" s="40" t="str">
        <f t="shared" si="0"/>
        <v/>
      </c>
      <c r="I29" s="41" t="str">
        <f>IFERROR(IF(D29=$F$4, H29/$H$4, H29/INDEX($H$7:H29, MATCH(LARGE(_xlfn.UNIQUE($D$7:D29), 2), $D$7:D29, 0))),
  ""
)</f>
        <v/>
      </c>
    </row>
    <row r="30" spans="2:16" ht="15.75" thickBot="1" x14ac:dyDescent="0.3">
      <c r="B30" s="14"/>
      <c r="D30" s="8"/>
      <c r="E30" s="8"/>
      <c r="F30" s="8"/>
      <c r="G30" s="8"/>
      <c r="H30" s="42" t="str">
        <f t="shared" si="0"/>
        <v/>
      </c>
      <c r="I30" s="43" t="str">
        <f>IFERROR(IF(D30=$F$4, H30/$H$4, H30/INDEX($H$7:H30, MATCH(LARGE(_xlfn.UNIQUE($D$7:D30), 2), $D$7:D30, 0))),
  ""
)</f>
        <v/>
      </c>
    </row>
    <row r="31" spans="2:16" x14ac:dyDescent="0.25">
      <c r="C31" s="15"/>
      <c r="D31" s="15"/>
      <c r="E31" s="15"/>
      <c r="F31" s="15"/>
      <c r="G31" s="15"/>
    </row>
  </sheetData>
  <pageMargins left="0.7" right="0.7" top="0.75" bottom="0.75" header="0.3" footer="0.3"/>
  <ignoredErrors>
    <ignoredError sqref="N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SequentialMacros">
                <anchor moveWithCells="1" sizeWithCells="1">
                  <from>
                    <xdr:col>15</xdr:col>
                    <xdr:colOff>161925</xdr:colOff>
                    <xdr:row>7</xdr:row>
                    <xdr:rowOff>19050</xdr:rowOff>
                  </from>
                  <to>
                    <xdr:col>18</xdr:col>
                    <xdr:colOff>447675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FD96-9B8A-46EC-BA08-B960B361BEC1}">
  <sheetPr codeName="Sheet2"/>
  <dimension ref="B3:J17"/>
  <sheetViews>
    <sheetView workbookViewId="0">
      <selection activeCell="D5" sqref="D5"/>
    </sheetView>
  </sheetViews>
  <sheetFormatPr defaultRowHeight="15" x14ac:dyDescent="0.25"/>
  <cols>
    <col min="2" max="2" width="14.7109375" bestFit="1" customWidth="1"/>
    <col min="3" max="3" width="42.7109375" bestFit="1" customWidth="1"/>
    <col min="4" max="4" width="9.42578125" bestFit="1" customWidth="1"/>
    <col min="5" max="5" width="11" bestFit="1" customWidth="1"/>
    <col min="6" max="6" width="9" bestFit="1" customWidth="1"/>
    <col min="7" max="7" width="14.42578125" bestFit="1" customWidth="1"/>
    <col min="8" max="8" width="8" bestFit="1" customWidth="1"/>
    <col min="9" max="9" width="7" bestFit="1" customWidth="1"/>
    <col min="10" max="10" width="13.28515625" bestFit="1" customWidth="1"/>
  </cols>
  <sheetData>
    <row r="3" spans="2:10" x14ac:dyDescent="0.25">
      <c r="B3" s="3" t="s">
        <v>21</v>
      </c>
      <c r="C3" s="3" t="s">
        <v>26</v>
      </c>
    </row>
    <row r="4" spans="2:10" x14ac:dyDescent="0.25">
      <c r="B4" s="3" t="s">
        <v>22</v>
      </c>
      <c r="C4" s="3" t="s">
        <v>27</v>
      </c>
    </row>
    <row r="10" spans="2:10" x14ac:dyDescent="0.25">
      <c r="D10" s="44" t="s">
        <v>23</v>
      </c>
      <c r="E10" s="44"/>
      <c r="F10" s="44"/>
      <c r="G10" s="44"/>
      <c r="H10" s="44"/>
      <c r="I10" s="44"/>
      <c r="J10" s="44"/>
    </row>
    <row r="11" spans="2:10" ht="15.75" thickBot="1" x14ac:dyDescent="0.3">
      <c r="D11" s="44" t="s">
        <v>24</v>
      </c>
      <c r="E11" s="44"/>
      <c r="F11" s="44"/>
      <c r="G11" s="44"/>
      <c r="H11" s="44"/>
      <c r="I11" s="44"/>
      <c r="J11" s="44"/>
    </row>
    <row r="12" spans="2:10" x14ac:dyDescent="0.25">
      <c r="D12" s="20" t="s">
        <v>10</v>
      </c>
      <c r="E12" s="21" t="s">
        <v>2</v>
      </c>
      <c r="F12" s="21" t="s">
        <v>3</v>
      </c>
      <c r="G12" s="21" t="s">
        <v>4</v>
      </c>
      <c r="H12" s="21" t="s">
        <v>5</v>
      </c>
      <c r="I12" s="21" t="s">
        <v>6</v>
      </c>
      <c r="J12" s="22" t="s">
        <v>7</v>
      </c>
    </row>
    <row r="13" spans="2:10" ht="15.75" thickBot="1" x14ac:dyDescent="0.3">
      <c r="D13" s="23" t="str" cm="1">
        <f t="array" ref="D13:J13">Model!C4:I4</f>
        <v>CNA Group</v>
      </c>
      <c r="E13" s="2">
        <v>0</v>
      </c>
      <c r="F13" s="2">
        <v>15000000</v>
      </c>
      <c r="G13" s="2">
        <v>15000000</v>
      </c>
      <c r="H13" s="2">
        <v>185111</v>
      </c>
      <c r="I13" s="2">
        <v>12340.733333333334</v>
      </c>
      <c r="J13" s="24" t="str">
        <v>N/A</v>
      </c>
    </row>
    <row r="15" spans="2:10" ht="15.75" thickBot="1" x14ac:dyDescent="0.3">
      <c r="D15" s="44" t="s">
        <v>25</v>
      </c>
      <c r="E15" s="44"/>
      <c r="F15" s="44"/>
      <c r="G15" s="44"/>
      <c r="H15" s="44"/>
      <c r="I15" s="44"/>
      <c r="J15" s="44"/>
    </row>
    <row r="16" spans="2:10" x14ac:dyDescent="0.25">
      <c r="D16" s="20" t="s">
        <v>10</v>
      </c>
      <c r="E16" s="21" t="s">
        <v>2</v>
      </c>
      <c r="F16" s="21" t="s">
        <v>3</v>
      </c>
      <c r="G16" s="21" t="s">
        <v>4</v>
      </c>
      <c r="H16" s="21" t="s">
        <v>5</v>
      </c>
      <c r="I16" s="21" t="s">
        <v>6</v>
      </c>
      <c r="J16" s="22" t="s">
        <v>7</v>
      </c>
    </row>
    <row r="17" spans="4:10" ht="15.75" thickBot="1" x14ac:dyDescent="0.3">
      <c r="D17" s="23"/>
      <c r="E17" s="2">
        <f>SMALL(_xlfn.UNIQUE(Model!D7:D30),1)</f>
        <v>15000000</v>
      </c>
      <c r="F17" s="2" cm="1">
        <f t="array" ref="F17">_xlfn.LET(_xlpm.minVal, SMALL(_xlfn.UNIQUE(_xlfn._xlws.FILTER(Model!D7:D30, Model!C7:C30&lt;&gt;"")), 1),_xlpm.targetRows, _xlfn._xlws.FILTER(Model!E7:E30, Model!D7:D30 = _xlpm.minVal),SUM(_xlpm.targetRows))</f>
        <v>15000000</v>
      </c>
      <c r="G17" s="2">
        <f>SMALL(_xlfn.UNIQUE(Model!F7:F30),1)</f>
        <v>100000000</v>
      </c>
      <c r="H17" s="2" cm="1">
        <f t="array" ref="H17">_xlfn.LET(_xlpm.minVal,SMALL(_xlfn.UNIQUE(_xlfn._xlws.FILTER(Model!D7:D30,Model!C7:C30&lt;&gt;"")),1),_xlpm.targetRows,_xlfn._xlws.FILTER(Model!G7:G30,Model!D7:D30=_xlpm.minVal),SUM(_xlpm.targetRows))</f>
        <v>100000</v>
      </c>
      <c r="I17" s="2"/>
      <c r="J17" s="24"/>
    </row>
  </sheetData>
  <mergeCells count="3">
    <mergeCell ref="D11:J11"/>
    <mergeCell ref="D10:J10"/>
    <mergeCell ref="D15:J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</vt:lpstr>
      <vt:lpstr>Setup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Cimini</dc:creator>
  <cp:keywords/>
  <dc:description/>
  <cp:lastModifiedBy>Alex Cimini</cp:lastModifiedBy>
  <cp:revision/>
  <dcterms:created xsi:type="dcterms:W3CDTF">2025-04-15T17:36:24Z</dcterms:created>
  <dcterms:modified xsi:type="dcterms:W3CDTF">2025-05-02T14:19:49Z</dcterms:modified>
  <cp:category/>
  <cp:contentStatus/>
</cp:coreProperties>
</file>